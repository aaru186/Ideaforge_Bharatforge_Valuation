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ARUSHI\Desktop\"/>
    </mc:Choice>
  </mc:AlternateContent>
  <xr:revisionPtr revIDLastSave="0" documentId="13_ncr:1_{19401F6F-3661-41E0-B5EE-EB65E8B44F49}" xr6:coauthVersionLast="47" xr6:coauthVersionMax="47" xr10:uidLastSave="{00000000-0000-0000-0000-000000000000}"/>
  <bookViews>
    <workbookView xWindow="-108" yWindow="-108" windowWidth="23256" windowHeight="13176" xr2:uid="{9132788D-DCAB-436F-82AD-DD783BA893DE}"/>
  </bookViews>
  <sheets>
    <sheet name="DCF_Sensitivity_Analysis" sheetId="1" r:id="rId1"/>
    <sheet name="CCA &amp; Order_Book" sheetId="2" r:id="rId2"/>
    <sheet name="Summary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7" i="3" l="1"/>
  <c r="E8" i="3"/>
  <c r="F8" i="3" s="1"/>
  <c r="C7" i="3"/>
  <c r="E7" i="3" s="1"/>
  <c r="F7" i="3" s="1"/>
  <c r="C6" i="3"/>
  <c r="E6" i="3" s="1"/>
  <c r="C32" i="2"/>
  <c r="E32" i="2" s="1"/>
  <c r="F32" i="2" s="1"/>
  <c r="E31" i="2"/>
  <c r="F31" i="2" s="1"/>
  <c r="E30" i="2"/>
  <c r="F30" i="2" s="1"/>
  <c r="C30" i="2"/>
  <c r="C29" i="2"/>
  <c r="E29" i="2" s="1"/>
  <c r="F29" i="2" s="1"/>
  <c r="K24" i="2"/>
  <c r="J24" i="2"/>
  <c r="I24" i="2"/>
  <c r="H24" i="2"/>
  <c r="O25" i="1"/>
  <c r="D25" i="1"/>
  <c r="O24" i="1"/>
  <c r="D24" i="1"/>
  <c r="O23" i="1"/>
  <c r="D23" i="1"/>
  <c r="O22" i="1"/>
  <c r="D22" i="1"/>
  <c r="O21" i="1"/>
  <c r="M21" i="1"/>
  <c r="J21" i="1"/>
  <c r="G21" i="1"/>
  <c r="I21" i="1" s="1"/>
  <c r="F21" i="1"/>
  <c r="D21" i="1"/>
  <c r="L21" i="1" l="1"/>
  <c r="E9" i="3"/>
  <c r="F6" i="3"/>
  <c r="F9" i="3" s="1"/>
  <c r="F33" i="2"/>
  <c r="F34" i="2" s="1"/>
  <c r="K21" i="1"/>
  <c r="C22" i="1"/>
  <c r="C23" i="1" s="1"/>
  <c r="C18" i="3" l="1"/>
  <c r="F18" i="3"/>
  <c r="J22" i="1"/>
  <c r="M22" i="1"/>
  <c r="G22" i="1"/>
  <c r="F22" i="1"/>
  <c r="N21" i="1"/>
  <c r="D20" i="3" l="1"/>
  <c r="J23" i="1"/>
  <c r="C24" i="1"/>
  <c r="G23" i="1"/>
  <c r="I23" i="1" s="1"/>
  <c r="F23" i="1"/>
  <c r="M23" i="1"/>
  <c r="Q21" i="1"/>
  <c r="K22" i="1"/>
  <c r="I22" i="1"/>
  <c r="L22" i="1" l="1"/>
  <c r="K23" i="1"/>
  <c r="M24" i="1"/>
  <c r="J24" i="1"/>
  <c r="C25" i="1"/>
  <c r="G24" i="1"/>
  <c r="F24" i="1"/>
  <c r="L23" i="1" l="1"/>
  <c r="N23" i="1" s="1"/>
  <c r="Q23" i="1" s="1"/>
  <c r="I24" i="1"/>
  <c r="N22" i="1"/>
  <c r="K24" i="1"/>
  <c r="L24" i="1" s="1"/>
  <c r="J25" i="1"/>
  <c r="G25" i="1"/>
  <c r="I25" i="1" s="1"/>
  <c r="F25" i="1"/>
  <c r="M25" i="1"/>
  <c r="N24" i="1" l="1"/>
  <c r="Q24" i="1" s="1"/>
  <c r="Q22" i="1"/>
  <c r="K25" i="1"/>
  <c r="L25" i="1" l="1"/>
  <c r="N25" i="1" l="1"/>
  <c r="C31" i="1" l="1"/>
  <c r="AC26" i="1"/>
  <c r="Q25" i="1"/>
  <c r="Q26" i="1" l="1"/>
  <c r="P26" i="1"/>
  <c r="AC27" i="1"/>
  <c r="C32" i="1"/>
  <c r="F29" i="1" s="1"/>
  <c r="F30" i="1" s="1"/>
  <c r="I28" i="1" s="1"/>
  <c r="I30" i="1" s="1"/>
  <c r="I32" i="1" s="1"/>
  <c r="AC28" i="1" l="1"/>
  <c r="AC29" i="1" s="1"/>
  <c r="AC30" i="1" s="1"/>
</calcChain>
</file>

<file path=xl/sharedStrings.xml><?xml version="1.0" encoding="utf-8"?>
<sst xmlns="http://schemas.openxmlformats.org/spreadsheetml/2006/main" count="173" uniqueCount="142">
  <si>
    <t>DCF Sensitivity Analysis</t>
  </si>
  <si>
    <t>Assumptions</t>
  </si>
  <si>
    <t>Assumption</t>
  </si>
  <si>
    <t>Value</t>
  </si>
  <si>
    <t>FY26 Revenue in Cr</t>
  </si>
  <si>
    <t>Revenue growth (Base)</t>
  </si>
  <si>
    <t>EBITDA Margin</t>
  </si>
  <si>
    <t>21% FY26 → 25% FY30</t>
  </si>
  <si>
    <t>Capex as a % of Revenue</t>
  </si>
  <si>
    <t>Depreciation</t>
  </si>
  <si>
    <t>5% - 9% of revenue</t>
  </si>
  <si>
    <t>ΔNWC</t>
  </si>
  <si>
    <t>15% of Δrevenue</t>
  </si>
  <si>
    <t>WACC</t>
  </si>
  <si>
    <t>Terminal Growth</t>
  </si>
  <si>
    <t>Shares Outstanding in Cr</t>
  </si>
  <si>
    <t>Net Cash in Cr</t>
  </si>
  <si>
    <t>Tax</t>
  </si>
  <si>
    <t>g</t>
  </si>
  <si>
    <t>Discounted Cash Flow Model</t>
  </si>
  <si>
    <t>Year</t>
  </si>
  <si>
    <t>Revenue Growth</t>
  </si>
  <si>
    <t>EBIDTA margin growth</t>
  </si>
  <si>
    <t>EBITDA (₹ Cr)</t>
  </si>
  <si>
    <t>PV using formula</t>
  </si>
  <si>
    <t>FY26</t>
  </si>
  <si>
    <t>FY27</t>
  </si>
  <si>
    <t>FY28</t>
  </si>
  <si>
    <t>FY29</t>
  </si>
  <si>
    <t>FY30</t>
  </si>
  <si>
    <t xml:space="preserve">Terminal value (end FY30) = FCF₅ × (1 + g) / (WACC - g). </t>
  </si>
  <si>
    <t>Terminal value =</t>
  </si>
  <si>
    <t>PV of Terminal value =</t>
  </si>
  <si>
    <t>Enterprise value =</t>
  </si>
  <si>
    <t xml:space="preserve">Equity value = </t>
  </si>
  <si>
    <t>Equity per share</t>
  </si>
  <si>
    <t>Capex</t>
  </si>
  <si>
    <t xml:space="preserve">Revenue Growth </t>
  </si>
  <si>
    <t>11% (Base)</t>
  </si>
  <si>
    <t>Rev Growth</t>
  </si>
  <si>
    <t>Peer Valuation</t>
  </si>
  <si>
    <t>Order Book</t>
  </si>
  <si>
    <t>Company</t>
  </si>
  <si>
    <t>Order Book (₹ Cr)</t>
  </si>
  <si>
    <t>FY25 Revenue (₹ Cr)</t>
  </si>
  <si>
    <t>Ratio (x)</t>
  </si>
  <si>
    <t>Ideaforge</t>
  </si>
  <si>
    <t>Paras Defence</t>
  </si>
  <si>
    <t>Zen Technologies</t>
  </si>
  <si>
    <t>Data Patterns</t>
  </si>
  <si>
    <t>MTAR Technologies</t>
  </si>
  <si>
    <t>HAL</t>
  </si>
  <si>
    <t>Median</t>
  </si>
  <si>
    <t>-</t>
  </si>
  <si>
    <t>Insights: Ideaforge's ratio matches median, implying existing market valuation at Rs.487</t>
  </si>
  <si>
    <t>Comparable Company Analysis</t>
  </si>
  <si>
    <t>MCap (₹ Cr)</t>
  </si>
  <si>
    <t>Price (₹)</t>
  </si>
  <si>
    <t>FY25 Rev (₹ Cr)</t>
  </si>
  <si>
    <t>BVPS (₹)</t>
  </si>
  <si>
    <t>PE (x)</t>
  </si>
  <si>
    <t>EV/EBITDA (x)</t>
  </si>
  <si>
    <t>PB (x)</t>
  </si>
  <si>
    <t>P/S (x)</t>
  </si>
  <si>
    <t>Hindustan Aeronautics (HAL)</t>
  </si>
  <si>
    <t>Peer Median Value</t>
  </si>
  <si>
    <t xml:space="preserve">Implied Value for Ideaforge (FY26E): </t>
  </si>
  <si>
    <t>KPI/Ratios</t>
  </si>
  <si>
    <t>EV value</t>
  </si>
  <si>
    <t>Per Share</t>
  </si>
  <si>
    <t>EV = 2098</t>
  </si>
  <si>
    <t>Forward PE</t>
  </si>
  <si>
    <t>EV1 = EV * 69/26</t>
  </si>
  <si>
    <t>EV/EBITDA</t>
  </si>
  <si>
    <t>EV2 = EBITDA(95)*51</t>
  </si>
  <si>
    <t>PB</t>
  </si>
  <si>
    <t>EV3 = (487/3.37) * 9.1</t>
  </si>
  <si>
    <t>P/S</t>
  </si>
  <si>
    <t>EV4 = EV * 11.7 / 4.66</t>
  </si>
  <si>
    <t>Average</t>
  </si>
  <si>
    <t>Total Equity Value</t>
  </si>
  <si>
    <t>Summary</t>
  </si>
  <si>
    <t>Blended Valuation</t>
  </si>
  <si>
    <t>Aspect</t>
  </si>
  <si>
    <t>Weights</t>
  </si>
  <si>
    <t>EV per share</t>
  </si>
  <si>
    <t>EV</t>
  </si>
  <si>
    <t>DCF Analysis</t>
  </si>
  <si>
    <t>Weighted Sum</t>
  </si>
  <si>
    <r>
      <t xml:space="preserve">EBITDA </t>
    </r>
    <r>
      <rPr>
        <sz val="8"/>
        <color theme="1"/>
        <rFont val="Calibri Light"/>
        <family val="2"/>
        <scheme val="major"/>
      </rPr>
      <t>(₹ Cr)</t>
    </r>
  </si>
  <si>
    <r>
      <t xml:space="preserve">Revenue </t>
    </r>
    <r>
      <rPr>
        <sz val="8"/>
        <color theme="1"/>
        <rFont val="Calibri Light"/>
        <family val="2"/>
        <scheme val="major"/>
      </rPr>
      <t>(₹ Cr)</t>
    </r>
  </si>
  <si>
    <r>
      <t xml:space="preserve">Depr </t>
    </r>
    <r>
      <rPr>
        <sz val="8"/>
        <color theme="1"/>
        <rFont val="Calibri Light"/>
        <family val="2"/>
        <scheme val="major"/>
      </rPr>
      <t>(₹ Cr)</t>
    </r>
  </si>
  <si>
    <r>
      <t xml:space="preserve">Depr Tax Shield </t>
    </r>
    <r>
      <rPr>
        <sz val="8"/>
        <color theme="1"/>
        <rFont val="Calibri Light"/>
        <family val="2"/>
        <scheme val="major"/>
      </rPr>
      <t>(₹ Cr)</t>
    </r>
  </si>
  <si>
    <r>
      <t xml:space="preserve">NOPLAT </t>
    </r>
    <r>
      <rPr>
        <sz val="8"/>
        <color theme="1"/>
        <rFont val="Calibri Light"/>
        <family val="2"/>
        <scheme val="major"/>
      </rPr>
      <t>(₹ Cr)</t>
    </r>
  </si>
  <si>
    <r>
      <t xml:space="preserve">Capex </t>
    </r>
    <r>
      <rPr>
        <sz val="8"/>
        <color theme="1"/>
        <rFont val="Calibri Light"/>
        <family val="2"/>
        <scheme val="major"/>
      </rPr>
      <t>(₹ Cr)</t>
    </r>
  </si>
  <si>
    <r>
      <t xml:space="preserve">FCF </t>
    </r>
    <r>
      <rPr>
        <sz val="8"/>
        <color theme="1"/>
        <rFont val="Calibri Light"/>
        <family val="2"/>
        <scheme val="major"/>
      </rPr>
      <t>(₹ Cr)</t>
    </r>
    <r>
      <rPr>
        <b/>
        <sz val="10"/>
        <color theme="1"/>
        <rFont val="Calibri Light"/>
        <family val="2"/>
        <scheme val="major"/>
      </rPr>
      <t xml:space="preserve"> </t>
    </r>
  </si>
  <si>
    <t>Terminal Value</t>
  </si>
  <si>
    <t>PV of Terminal Value</t>
  </si>
  <si>
    <t>Enterprise Value</t>
  </si>
  <si>
    <t>FCF (at end of 5 yrs)(₹ Cr)</t>
  </si>
  <si>
    <t>Terminal Value(₹ Cr)</t>
  </si>
  <si>
    <t>PV of Terminal Value(₹ Cr)</t>
  </si>
  <si>
    <t>Total PV(₹ Cr)</t>
  </si>
  <si>
    <t>Equity Value</t>
  </si>
  <si>
    <t>Net Cash</t>
  </si>
  <si>
    <t>Shares Outstanding</t>
  </si>
  <si>
    <t>Equity Value per Share</t>
  </si>
  <si>
    <r>
      <t>Tax</t>
    </r>
    <r>
      <rPr>
        <sz val="8"/>
        <color theme="1"/>
        <rFont val="Calibri Light"/>
        <family val="2"/>
        <scheme val="major"/>
      </rPr>
      <t>(₹ Cr)</t>
    </r>
  </si>
  <si>
    <t>WACC% vs Revenue Growth%</t>
  </si>
  <si>
    <t>Capex% vs Revenue Growth%</t>
  </si>
  <si>
    <t>Insights:</t>
  </si>
  <si>
    <t>Bull Case</t>
  </si>
  <si>
    <t>Break-even to Current Price</t>
  </si>
  <si>
    <t>Bear Case</t>
  </si>
  <si>
    <t>21% growth at 11% WACC</t>
  </si>
  <si>
    <t>Break-even</t>
  </si>
  <si>
    <t>25% growth, 5% Capex</t>
  </si>
  <si>
    <t>15% growth, 10% Capex</t>
  </si>
  <si>
    <t>21% growth at 15% Capex</t>
  </si>
  <si>
    <t>25% growth, 9% WACC</t>
  </si>
  <si>
    <t>15% growth, 13% WACC</t>
  </si>
  <si>
    <r>
      <t xml:space="preserve">Blended FV: </t>
    </r>
    <r>
      <rPr>
        <b/>
        <sz val="10"/>
        <color theme="1"/>
        <rFont val="Calibri Light"/>
        <family val="2"/>
        <scheme val="major"/>
      </rPr>
      <t>₹605/share</t>
    </r>
  </si>
  <si>
    <r>
      <rPr>
        <b/>
        <sz val="10"/>
        <color theme="1"/>
        <rFont val="Calibri Light"/>
        <family val="2"/>
        <scheme val="major"/>
      </rPr>
      <t>25%</t>
    </r>
    <r>
      <rPr>
        <sz val="10"/>
        <color theme="1"/>
        <rFont val="Calibri Light"/>
        <family val="2"/>
        <scheme val="major"/>
      </rPr>
      <t xml:space="preserve"> to current ₹487/share</t>
    </r>
  </si>
  <si>
    <r>
      <t xml:space="preserve">Total equity: </t>
    </r>
    <r>
      <rPr>
        <b/>
        <sz val="10"/>
        <color theme="1"/>
        <rFont val="Calibri Light"/>
        <family val="2"/>
        <scheme val="major"/>
      </rPr>
      <t>₹2600 cr</t>
    </r>
  </si>
  <si>
    <t>Promoter Share Buyout Price</t>
  </si>
  <si>
    <t>Outstanding shares (Crs)</t>
  </si>
  <si>
    <r>
      <t>Promoter Share Buyout Price</t>
    </r>
    <r>
      <rPr>
        <sz val="8"/>
        <color theme="1"/>
        <rFont val="Calibri Light"/>
        <family val="2"/>
        <scheme val="major"/>
      </rPr>
      <t>(₹ Cr)</t>
    </r>
  </si>
  <si>
    <t>Open Offer Price</t>
  </si>
  <si>
    <t>Under SEBI guidelines (2011): Acquiring &gt;25% triggers mandatory open offer for 26% of shares</t>
  </si>
  <si>
    <t>Open offer%</t>
  </si>
  <si>
    <r>
      <t xml:space="preserve">Promoters Share% </t>
    </r>
    <r>
      <rPr>
        <i/>
        <sz val="9"/>
        <color theme="1"/>
        <rFont val="Calibri Light"/>
        <family val="2"/>
        <scheme val="major"/>
      </rPr>
      <t>(Sept2025)</t>
    </r>
  </si>
  <si>
    <t>No. of Promoter Shares (Crs)</t>
  </si>
  <si>
    <r>
      <t>Open Offer Price</t>
    </r>
    <r>
      <rPr>
        <sz val="8"/>
        <color theme="1"/>
        <rFont val="Calibri Light"/>
        <family val="2"/>
        <scheme val="major"/>
      </rPr>
      <t>(₹ Cr)</t>
    </r>
  </si>
  <si>
    <t>Grand Total Acquisition Cost(₹ Cr):</t>
  </si>
  <si>
    <t>Formulas Used:</t>
  </si>
  <si>
    <t>NOPLAT = EBITDA × (1-0.25) + tax shield (0.25 × dep) - capex - ΔNWC</t>
  </si>
  <si>
    <t>EBITDA = Revenue growth% × Margin (21% +1% p.a. cap 25%)</t>
  </si>
  <si>
    <t>Terminal Value = FCF₅ ×1.05/(WACC-0.05)</t>
  </si>
  <si>
    <t>Equity = (EV + Net cash)/shares.</t>
  </si>
  <si>
    <t>Higher weight(0.5) was assigned to DCF Analysis as it reflects intrinsic value based on future cash flows followed by Peer Valuation(0.3).</t>
  </si>
  <si>
    <t>Lower significance(0.2) was given to Order Book since orders can fluctuate and are less reliable for long-term valuation.</t>
  </si>
  <si>
    <t xml:space="preserve">Price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</si>
</sst>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₹&quot;\ #,##0;[Red]&quot;₹&quot;\ \-#,##0"/>
    <numFmt numFmtId="164" formatCode="0.0"/>
    <numFmt numFmtId="172" formatCode="&quot;₹&quot;\ #,##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 Light"/>
      <family val="2"/>
      <scheme val="major"/>
    </font>
    <font>
      <b/>
      <sz val="12"/>
      <color theme="1"/>
      <name val="Calibri Light"/>
      <family val="2"/>
      <scheme val="major"/>
    </font>
    <font>
      <b/>
      <sz val="10"/>
      <color theme="1"/>
      <name val="Calibri Light"/>
      <family val="2"/>
      <scheme val="major"/>
    </font>
    <font>
      <sz val="10"/>
      <color theme="1"/>
      <name val="Calibri Light"/>
      <family val="2"/>
      <scheme val="major"/>
    </font>
    <font>
      <sz val="10"/>
      <color theme="1"/>
      <name val="Aptos"/>
      <family val="2"/>
    </font>
    <font>
      <sz val="12"/>
      <color theme="1"/>
      <name val="Aptos"/>
      <family val="2"/>
    </font>
    <font>
      <b/>
      <sz val="11"/>
      <color theme="1"/>
      <name val="Calibri Light"/>
      <family val="2"/>
      <scheme val="major"/>
    </font>
    <font>
      <sz val="9"/>
      <color theme="1"/>
      <name val="Calibri Light"/>
      <family val="2"/>
      <scheme val="major"/>
    </font>
    <font>
      <sz val="8"/>
      <color theme="1"/>
      <name val="Calibri Light"/>
      <family val="2"/>
      <scheme val="major"/>
    </font>
    <font>
      <sz val="12"/>
      <color theme="0"/>
      <name val="Aptos"/>
      <family val="2"/>
    </font>
    <font>
      <b/>
      <sz val="10"/>
      <name val="Calibri Light"/>
      <family val="2"/>
      <scheme val="major"/>
    </font>
    <font>
      <sz val="11"/>
      <color theme="1"/>
      <name val="Calibri Light"/>
      <family val="2"/>
      <scheme val="major"/>
    </font>
    <font>
      <i/>
      <sz val="9"/>
      <color theme="1"/>
      <name val="Calibri Light"/>
      <family val="2"/>
      <scheme val="major"/>
    </font>
    <font>
      <i/>
      <sz val="11"/>
      <color theme="1"/>
      <name val="Calibri"/>
      <family val="2"/>
      <scheme val="minor"/>
    </font>
    <font>
      <i/>
      <sz val="10"/>
      <color theme="1"/>
      <name val="Calibri Light"/>
      <family val="2"/>
      <scheme val="major"/>
    </font>
  </fonts>
  <fills count="9">
    <fill>
      <patternFill patternType="none"/>
    </fill>
    <fill>
      <patternFill patternType="gray125"/>
    </fill>
    <fill>
      <patternFill patternType="solid">
        <fgColor theme="3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4">
    <xf numFmtId="0" fontId="0" fillId="0" borderId="0" xfId="0"/>
    <xf numFmtId="0" fontId="0" fillId="2" borderId="0" xfId="0" applyFill="1"/>
    <xf numFmtId="0" fontId="4" fillId="2" borderId="0" xfId="0" applyFont="1" applyFill="1"/>
    <xf numFmtId="0" fontId="5" fillId="3" borderId="0" xfId="0" applyFont="1" applyFill="1"/>
    <xf numFmtId="0" fontId="0" fillId="3" borderId="0" xfId="0" applyFill="1"/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vertical="center" wrapText="1"/>
    </xf>
    <xf numFmtId="6" fontId="7" fillId="0" borderId="1" xfId="0" applyNumberFormat="1" applyFont="1" applyBorder="1" applyAlignment="1">
      <alignment horizontal="right" vertical="center" wrapText="1"/>
    </xf>
    <xf numFmtId="9" fontId="7" fillId="0" borderId="1" xfId="0" applyNumberFormat="1" applyFont="1" applyBorder="1" applyAlignment="1">
      <alignment horizontal="right" vertical="center" wrapText="1"/>
    </xf>
    <xf numFmtId="0" fontId="7" fillId="0" borderId="1" xfId="0" applyFont="1" applyBorder="1" applyAlignment="1">
      <alignment horizontal="right" vertical="center" wrapText="1"/>
    </xf>
    <xf numFmtId="0" fontId="8" fillId="0" borderId="0" xfId="0" applyFont="1" applyAlignment="1">
      <alignment horizontal="left" vertical="center" indent="1"/>
    </xf>
    <xf numFmtId="9" fontId="0" fillId="0" borderId="0" xfId="0" applyNumberFormat="1"/>
    <xf numFmtId="9" fontId="7" fillId="0" borderId="1" xfId="1" applyFont="1" applyBorder="1" applyAlignment="1">
      <alignment horizontal="right" vertical="center" wrapText="1"/>
    </xf>
    <xf numFmtId="0" fontId="7" fillId="0" borderId="0" xfId="0" applyFont="1" applyAlignment="1">
      <alignment vertical="center" wrapText="1"/>
    </xf>
    <xf numFmtId="9" fontId="7" fillId="0" borderId="0" xfId="0" applyNumberFormat="1" applyFont="1" applyAlignment="1">
      <alignment horizontal="right" vertical="center" wrapText="1"/>
    </xf>
    <xf numFmtId="0" fontId="9" fillId="0" borderId="0" xfId="0" applyFont="1" applyAlignment="1">
      <alignment vertical="center" wrapText="1"/>
    </xf>
    <xf numFmtId="1" fontId="9" fillId="0" borderId="0" xfId="0" applyNumberFormat="1" applyFont="1" applyAlignment="1">
      <alignment vertical="center" wrapText="1"/>
    </xf>
    <xf numFmtId="9" fontId="0" fillId="0" borderId="0" xfId="1" applyFont="1" applyBorder="1"/>
    <xf numFmtId="1" fontId="0" fillId="0" borderId="0" xfId="0" applyNumberFormat="1"/>
    <xf numFmtId="2" fontId="7" fillId="0" borderId="1" xfId="0" applyNumberFormat="1" applyFont="1" applyBorder="1" applyAlignment="1">
      <alignment vertical="center" wrapText="1"/>
    </xf>
    <xf numFmtId="1" fontId="7" fillId="0" borderId="1" xfId="0" applyNumberFormat="1" applyFont="1" applyBorder="1" applyAlignment="1">
      <alignment vertical="center" wrapText="1"/>
    </xf>
    <xf numFmtId="3" fontId="7" fillId="0" borderId="1" xfId="0" applyNumberFormat="1" applyFont="1" applyBorder="1" applyAlignment="1">
      <alignment vertical="center" wrapText="1"/>
    </xf>
    <xf numFmtId="0" fontId="7" fillId="5" borderId="1" xfId="0" applyFont="1" applyFill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1" fontId="7" fillId="5" borderId="1" xfId="0" applyNumberFormat="1" applyFont="1" applyFill="1" applyBorder="1" applyAlignment="1">
      <alignment vertical="center" wrapText="1"/>
    </xf>
    <xf numFmtId="1" fontId="13" fillId="0" borderId="0" xfId="0" applyNumberFormat="1" applyFont="1" applyAlignment="1">
      <alignment vertical="center" wrapText="1"/>
    </xf>
    <xf numFmtId="0" fontId="7" fillId="0" borderId="0" xfId="0" applyFont="1" applyFill="1" applyBorder="1" applyAlignment="1">
      <alignment vertical="center" wrapText="1"/>
    </xf>
    <xf numFmtId="0" fontId="0" fillId="0" borderId="0" xfId="0" applyFill="1"/>
    <xf numFmtId="2" fontId="7" fillId="0" borderId="0" xfId="0" applyNumberFormat="1" applyFont="1" applyBorder="1" applyAlignment="1">
      <alignment vertical="center" wrapText="1"/>
    </xf>
    <xf numFmtId="9" fontId="7" fillId="0" borderId="0" xfId="1" applyFont="1" applyBorder="1" applyAlignment="1">
      <alignment vertical="center" wrapText="1"/>
    </xf>
    <xf numFmtId="0" fontId="7" fillId="5" borderId="0" xfId="0" applyFont="1" applyFill="1" applyBorder="1" applyAlignment="1">
      <alignment vertical="center" wrapText="1"/>
    </xf>
    <xf numFmtId="2" fontId="7" fillId="5" borderId="0" xfId="0" applyNumberFormat="1" applyFont="1" applyFill="1" applyBorder="1" applyAlignment="1">
      <alignment vertical="center" wrapText="1"/>
    </xf>
    <xf numFmtId="2" fontId="7" fillId="5" borderId="1" xfId="0" applyNumberFormat="1" applyFont="1" applyFill="1" applyBorder="1" applyAlignment="1">
      <alignment vertical="center" wrapText="1"/>
    </xf>
    <xf numFmtId="1" fontId="14" fillId="6" borderId="1" xfId="0" applyNumberFormat="1" applyFont="1" applyFill="1" applyBorder="1" applyAlignment="1">
      <alignment vertical="center" wrapText="1"/>
    </xf>
    <xf numFmtId="2" fontId="7" fillId="0" borderId="0" xfId="0" applyNumberFormat="1" applyFont="1" applyFill="1" applyBorder="1" applyAlignment="1">
      <alignment vertical="center" wrapText="1"/>
    </xf>
    <xf numFmtId="0" fontId="11" fillId="5" borderId="0" xfId="0" applyFont="1" applyFill="1" applyBorder="1" applyAlignment="1">
      <alignment vertical="center" wrapText="1"/>
    </xf>
    <xf numFmtId="2" fontId="15" fillId="0" borderId="0" xfId="0" applyNumberFormat="1" applyFont="1"/>
    <xf numFmtId="0" fontId="15" fillId="0" borderId="0" xfId="0" applyFont="1"/>
    <xf numFmtId="2" fontId="15" fillId="5" borderId="0" xfId="0" applyNumberFormat="1" applyFont="1" applyFill="1"/>
    <xf numFmtId="0" fontId="7" fillId="0" borderId="1" xfId="0" applyFont="1" applyBorder="1" applyAlignment="1">
      <alignment vertical="center"/>
    </xf>
    <xf numFmtId="0" fontId="7" fillId="0" borderId="0" xfId="0" applyFont="1"/>
    <xf numFmtId="0" fontId="7" fillId="0" borderId="0" xfId="0" applyFont="1" applyFill="1"/>
    <xf numFmtId="6" fontId="7" fillId="0" borderId="1" xfId="0" applyNumberFormat="1" applyFont="1" applyFill="1" applyBorder="1" applyAlignment="1">
      <alignment vertical="center" wrapText="1"/>
    </xf>
    <xf numFmtId="0" fontId="7" fillId="0" borderId="1" xfId="0" applyFont="1" applyFill="1" applyBorder="1" applyAlignment="1">
      <alignment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9" fontId="6" fillId="5" borderId="1" xfId="0" applyNumberFormat="1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9" fontId="7" fillId="5" borderId="1" xfId="0" applyNumberFormat="1" applyFont="1" applyFill="1" applyBorder="1" applyAlignment="1">
      <alignment vertical="center" wrapText="1"/>
    </xf>
    <xf numFmtId="0" fontId="6" fillId="5" borderId="1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/>
    </xf>
    <xf numFmtId="6" fontId="7" fillId="7" borderId="1" xfId="0" applyNumberFormat="1" applyFont="1" applyFill="1" applyBorder="1" applyAlignment="1">
      <alignment vertical="center" wrapText="1"/>
    </xf>
    <xf numFmtId="6" fontId="7" fillId="3" borderId="1" xfId="0" applyNumberFormat="1" applyFont="1" applyFill="1" applyBorder="1" applyAlignment="1">
      <alignment vertical="center" wrapText="1"/>
    </xf>
    <xf numFmtId="6" fontId="7" fillId="8" borderId="1" xfId="0" applyNumberFormat="1" applyFont="1" applyFill="1" applyBorder="1" applyAlignment="1">
      <alignment vertical="center" wrapText="1"/>
    </xf>
    <xf numFmtId="1" fontId="3" fillId="0" borderId="0" xfId="0" applyNumberFormat="1" applyFont="1"/>
    <xf numFmtId="9" fontId="3" fillId="0" borderId="0" xfId="1" applyFont="1" applyBorder="1"/>
    <xf numFmtId="0" fontId="3" fillId="0" borderId="0" xfId="0" applyFont="1"/>
    <xf numFmtId="0" fontId="0" fillId="0" borderId="0" xfId="0" applyBorder="1"/>
    <xf numFmtId="0" fontId="13" fillId="0" borderId="0" xfId="0" applyFont="1" applyBorder="1" applyAlignment="1">
      <alignment vertical="center"/>
    </xf>
    <xf numFmtId="0" fontId="13" fillId="0" borderId="0" xfId="0" applyFont="1" applyBorder="1" applyAlignment="1">
      <alignment vertical="center" wrapText="1"/>
    </xf>
    <xf numFmtId="0" fontId="3" fillId="0" borderId="0" xfId="0" applyFont="1" applyBorder="1"/>
    <xf numFmtId="1" fontId="13" fillId="0" borderId="0" xfId="0" applyNumberFormat="1" applyFont="1" applyBorder="1" applyAlignment="1">
      <alignment vertical="center" wrapText="1"/>
    </xf>
    <xf numFmtId="1" fontId="13" fillId="0" borderId="0" xfId="0" applyNumberFormat="1" applyFont="1" applyFill="1" applyBorder="1" applyAlignment="1">
      <alignment vertical="center" wrapText="1"/>
    </xf>
    <xf numFmtId="0" fontId="16" fillId="0" borderId="1" xfId="0" applyFont="1" applyFill="1" applyBorder="1"/>
    <xf numFmtId="0" fontId="11" fillId="4" borderId="1" xfId="0" applyFont="1" applyFill="1" applyBorder="1"/>
    <xf numFmtId="0" fontId="11" fillId="8" borderId="1" xfId="0" applyFont="1" applyFill="1" applyBorder="1"/>
    <xf numFmtId="0" fontId="11" fillId="6" borderId="1" xfId="0" applyFont="1" applyFill="1" applyBorder="1"/>
    <xf numFmtId="0" fontId="7" fillId="0" borderId="0" xfId="0" applyFont="1" applyFill="1" applyBorder="1"/>
    <xf numFmtId="0" fontId="16" fillId="0" borderId="0" xfId="0" applyFont="1" applyFill="1" applyBorder="1"/>
    <xf numFmtId="0" fontId="11" fillId="0" borderId="0" xfId="0" applyFont="1" applyFill="1" applyBorder="1"/>
    <xf numFmtId="172" fontId="7" fillId="0" borderId="1" xfId="0" applyNumberFormat="1" applyFont="1" applyFill="1" applyBorder="1" applyAlignment="1">
      <alignment vertical="center" wrapText="1"/>
    </xf>
    <xf numFmtId="172" fontId="7" fillId="8" borderId="1" xfId="0" applyNumberFormat="1" applyFont="1" applyFill="1" applyBorder="1" applyAlignment="1">
      <alignment vertical="center" wrapText="1"/>
    </xf>
    <xf numFmtId="172" fontId="7" fillId="7" borderId="1" xfId="0" applyNumberFormat="1" applyFont="1" applyFill="1" applyBorder="1" applyAlignment="1">
      <alignment vertical="center" wrapText="1"/>
    </xf>
    <xf numFmtId="172" fontId="7" fillId="3" borderId="1" xfId="0" applyNumberFormat="1" applyFont="1" applyFill="1" applyBorder="1" applyAlignment="1">
      <alignment vertical="center" wrapText="1"/>
    </xf>
    <xf numFmtId="172" fontId="7" fillId="0" borderId="1" xfId="0" applyNumberFormat="1" applyFont="1" applyFill="1" applyBorder="1"/>
    <xf numFmtId="0" fontId="10" fillId="3" borderId="0" xfId="0" applyFont="1" applyFill="1"/>
    <xf numFmtId="0" fontId="7" fillId="0" borderId="0" xfId="0" applyFont="1" applyBorder="1" applyAlignment="1">
      <alignment vertical="center" wrapText="1"/>
    </xf>
    <xf numFmtId="0" fontId="17" fillId="0" borderId="0" xfId="0" applyFont="1"/>
    <xf numFmtId="1" fontId="7" fillId="3" borderId="1" xfId="0" applyNumberFormat="1" applyFont="1" applyFill="1" applyBorder="1" applyAlignment="1">
      <alignment vertical="center" wrapText="1"/>
    </xf>
    <xf numFmtId="0" fontId="18" fillId="0" borderId="0" xfId="0" applyFont="1" applyFill="1" applyBorder="1" applyAlignment="1">
      <alignment horizontal="left" vertical="center" wrapText="1"/>
    </xf>
    <xf numFmtId="0" fontId="10" fillId="0" borderId="0" xfId="0" applyFont="1" applyFill="1"/>
    <xf numFmtId="9" fontId="7" fillId="0" borderId="0" xfId="0" applyNumberFormat="1" applyFont="1" applyAlignment="1">
      <alignment vertical="center" wrapText="1"/>
    </xf>
    <xf numFmtId="164" fontId="7" fillId="0" borderId="0" xfId="1" applyNumberFormat="1" applyFont="1"/>
    <xf numFmtId="2" fontId="7" fillId="0" borderId="0" xfId="0" applyNumberFormat="1" applyFont="1"/>
    <xf numFmtId="0" fontId="7" fillId="5" borderId="0" xfId="0" applyFont="1" applyFill="1" applyAlignment="1">
      <alignment vertical="center" wrapText="1"/>
    </xf>
    <xf numFmtId="2" fontId="7" fillId="5" borderId="0" xfId="0" applyNumberFormat="1" applyFont="1" applyFill="1"/>
    <xf numFmtId="0" fontId="18" fillId="0" borderId="0" xfId="0" applyFont="1"/>
    <xf numFmtId="10" fontId="7" fillId="0" borderId="0" xfId="0" applyNumberFormat="1" applyFont="1" applyAlignment="1">
      <alignment vertical="center" wrapText="1"/>
    </xf>
    <xf numFmtId="0" fontId="10" fillId="3" borderId="0" xfId="0" applyFont="1" applyFill="1" applyAlignment="1">
      <alignment horizontal="left"/>
    </xf>
    <xf numFmtId="2" fontId="2" fillId="3" borderId="0" xfId="0" applyNumberFormat="1" applyFont="1" applyFill="1"/>
    <xf numFmtId="0" fontId="7" fillId="0" borderId="0" xfId="0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 indent="1"/>
    </xf>
    <xf numFmtId="0" fontId="18" fillId="0" borderId="0" xfId="0" applyFont="1" applyAlignment="1">
      <alignment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ARUSHI\Desktop\BreaktheCase_Final.xlsx" TargetMode="External"/><Relationship Id="rId1" Type="http://schemas.openxmlformats.org/officeDocument/2006/relationships/externalLinkPath" Target="BreaktheCase_Fin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CF+Sensitivity"/>
      <sheetName val="CCA &amp; OrderBook"/>
      <sheetName val="Summary"/>
    </sheetNames>
    <sheetDataSet>
      <sheetData sheetId="0">
        <row r="33">
          <cell r="C33">
            <v>271.1557412281789</v>
          </cell>
        </row>
      </sheetData>
      <sheetData sheetId="1">
        <row r="33">
          <cell r="F33">
            <v>1238.6920269348675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58E00-A87E-4EDD-951B-69C6518BA6E8}">
  <dimension ref="A1:AG57"/>
  <sheetViews>
    <sheetView tabSelected="1" workbookViewId="0">
      <selection activeCell="F14" sqref="F14"/>
    </sheetView>
  </sheetViews>
  <sheetFormatPr defaultRowHeight="14.4" x14ac:dyDescent="0.3"/>
  <cols>
    <col min="1" max="1" width="4.109375" customWidth="1"/>
    <col min="2" max="2" width="21.33203125" customWidth="1"/>
    <col min="3" max="3" width="19.33203125" customWidth="1"/>
    <col min="4" max="4" width="11.44140625" customWidth="1"/>
    <col min="5" max="5" width="16.88671875" customWidth="1"/>
    <col min="6" max="6" width="12.6640625" customWidth="1"/>
    <col min="8" max="8" width="17.109375" customWidth="1"/>
    <col min="9" max="9" width="12" customWidth="1"/>
    <col min="10" max="10" width="11" customWidth="1"/>
    <col min="12" max="12" width="12.77734375" customWidth="1"/>
    <col min="13" max="13" width="10.33203125" customWidth="1"/>
    <col min="15" max="15" width="10.77734375" customWidth="1"/>
  </cols>
  <sheetData>
    <row r="1" spans="1:15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x14ac:dyDescent="0.3">
      <c r="A2" s="1"/>
      <c r="B2" s="2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4" spans="1:15" ht="15.6" x14ac:dyDescent="0.3">
      <c r="B4" s="3" t="s">
        <v>1</v>
      </c>
      <c r="C4" s="4"/>
    </row>
    <row r="5" spans="1:15" x14ac:dyDescent="0.3">
      <c r="B5" s="5" t="s">
        <v>2</v>
      </c>
      <c r="C5" s="5" t="s">
        <v>3</v>
      </c>
    </row>
    <row r="6" spans="1:15" x14ac:dyDescent="0.3">
      <c r="B6" s="6" t="s">
        <v>4</v>
      </c>
      <c r="C6" s="7">
        <v>450</v>
      </c>
    </row>
    <row r="7" spans="1:15" x14ac:dyDescent="0.3">
      <c r="B7" s="6" t="s">
        <v>5</v>
      </c>
      <c r="C7" s="8">
        <v>0.21</v>
      </c>
    </row>
    <row r="8" spans="1:15" x14ac:dyDescent="0.3">
      <c r="B8" s="6" t="s">
        <v>6</v>
      </c>
      <c r="C8" s="9" t="s">
        <v>7</v>
      </c>
    </row>
    <row r="9" spans="1:15" x14ac:dyDescent="0.3">
      <c r="B9" s="6" t="s">
        <v>8</v>
      </c>
      <c r="C9" s="8">
        <v>0.1</v>
      </c>
    </row>
    <row r="10" spans="1:15" x14ac:dyDescent="0.3">
      <c r="B10" s="6" t="s">
        <v>9</v>
      </c>
      <c r="C10" s="9" t="s">
        <v>10</v>
      </c>
    </row>
    <row r="11" spans="1:15" x14ac:dyDescent="0.3">
      <c r="B11" s="6" t="s">
        <v>11</v>
      </c>
      <c r="C11" s="9" t="s">
        <v>12</v>
      </c>
    </row>
    <row r="12" spans="1:15" x14ac:dyDescent="0.3">
      <c r="B12" s="6" t="s">
        <v>13</v>
      </c>
      <c r="C12" s="8">
        <v>0.11</v>
      </c>
      <c r="E12" s="10"/>
    </row>
    <row r="13" spans="1:15" x14ac:dyDescent="0.3">
      <c r="B13" s="6" t="s">
        <v>14</v>
      </c>
      <c r="C13" s="9">
        <v>0.05</v>
      </c>
      <c r="E13" s="10"/>
    </row>
    <row r="14" spans="1:15" x14ac:dyDescent="0.3">
      <c r="B14" s="6" t="s">
        <v>15</v>
      </c>
      <c r="C14" s="9">
        <v>4.3250000000000002</v>
      </c>
      <c r="E14" s="10"/>
    </row>
    <row r="15" spans="1:15" x14ac:dyDescent="0.3">
      <c r="B15" s="6" t="s">
        <v>16</v>
      </c>
      <c r="C15" s="7">
        <v>200</v>
      </c>
      <c r="E15" s="11"/>
    </row>
    <row r="16" spans="1:15" x14ac:dyDescent="0.3">
      <c r="B16" s="6" t="s">
        <v>17</v>
      </c>
      <c r="C16" s="12">
        <v>0.25</v>
      </c>
    </row>
    <row r="17" spans="2:33" x14ac:dyDescent="0.3">
      <c r="B17" s="6" t="s">
        <v>18</v>
      </c>
      <c r="C17" s="8">
        <v>0.05</v>
      </c>
    </row>
    <row r="18" spans="2:33" x14ac:dyDescent="0.3">
      <c r="B18" s="13"/>
      <c r="C18" s="14"/>
    </row>
    <row r="19" spans="2:33" ht="15.6" x14ac:dyDescent="0.3">
      <c r="B19" s="3" t="s">
        <v>19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</row>
    <row r="20" spans="2:33" ht="27.6" x14ac:dyDescent="0.3">
      <c r="B20" s="5" t="s">
        <v>20</v>
      </c>
      <c r="C20" s="5" t="s">
        <v>90</v>
      </c>
      <c r="D20" s="5" t="s">
        <v>21</v>
      </c>
      <c r="E20" s="5" t="s">
        <v>22</v>
      </c>
      <c r="F20" s="5" t="s">
        <v>89</v>
      </c>
      <c r="G20" s="5" t="s">
        <v>91</v>
      </c>
      <c r="H20" s="5" t="s">
        <v>17</v>
      </c>
      <c r="I20" s="5" t="s">
        <v>92</v>
      </c>
      <c r="J20" s="5" t="s">
        <v>11</v>
      </c>
      <c r="K20" s="5" t="s">
        <v>107</v>
      </c>
      <c r="L20" s="5" t="s">
        <v>93</v>
      </c>
      <c r="M20" s="5" t="s">
        <v>94</v>
      </c>
      <c r="N20" s="5" t="s">
        <v>95</v>
      </c>
      <c r="O20" s="5" t="s">
        <v>13</v>
      </c>
      <c r="P20" s="5" t="s">
        <v>20</v>
      </c>
      <c r="Q20" s="5" t="s">
        <v>24</v>
      </c>
    </row>
    <row r="21" spans="2:33" x14ac:dyDescent="0.3">
      <c r="B21" s="6" t="s">
        <v>25</v>
      </c>
      <c r="C21" s="6">
        <v>450</v>
      </c>
      <c r="D21" s="6">
        <f>$C$7</f>
        <v>0.21</v>
      </c>
      <c r="E21" s="6">
        <v>0.21</v>
      </c>
      <c r="F21" s="6">
        <f>C21*E21</f>
        <v>94.5</v>
      </c>
      <c r="G21" s="6">
        <f>C21*5%</f>
        <v>22.5</v>
      </c>
      <c r="H21" s="6">
        <v>0.25</v>
      </c>
      <c r="I21" s="19">
        <f>G21*H21</f>
        <v>5.625</v>
      </c>
      <c r="J21" s="19">
        <f>(C21-166)*15%</f>
        <v>42.6</v>
      </c>
      <c r="K21" s="19">
        <f>F21*25%</f>
        <v>23.625</v>
      </c>
      <c r="L21" s="19">
        <f>F21-K21</f>
        <v>70.875</v>
      </c>
      <c r="M21" s="6">
        <f>C21*$C$9</f>
        <v>45</v>
      </c>
      <c r="N21" s="6">
        <f>L21+I21-M21-J21</f>
        <v>-11.100000000000001</v>
      </c>
      <c r="O21" s="6">
        <f>$C$12</f>
        <v>0.11</v>
      </c>
      <c r="P21" s="6">
        <v>1</v>
      </c>
      <c r="Q21" s="22">
        <f>N21/(1+O21)^P21</f>
        <v>-10</v>
      </c>
    </row>
    <row r="22" spans="2:33" x14ac:dyDescent="0.3">
      <c r="B22" s="6" t="s">
        <v>26</v>
      </c>
      <c r="C22" s="6">
        <f>C21*(1+D21)</f>
        <v>544.5</v>
      </c>
      <c r="D22" s="6">
        <f t="shared" ref="D22:D25" si="0">$C$7</f>
        <v>0.21</v>
      </c>
      <c r="E22" s="6">
        <v>0.22</v>
      </c>
      <c r="F22" s="19">
        <f>C22*E22</f>
        <v>119.79</v>
      </c>
      <c r="G22" s="6">
        <f>C22*6%</f>
        <v>32.67</v>
      </c>
      <c r="H22" s="6">
        <v>0.25</v>
      </c>
      <c r="I22" s="19">
        <f>G22*H22</f>
        <v>8.1675000000000004</v>
      </c>
      <c r="J22" s="19">
        <f>(C22-C21)*15%</f>
        <v>14.174999999999999</v>
      </c>
      <c r="K22" s="19">
        <f>F22*25%</f>
        <v>29.947500000000002</v>
      </c>
      <c r="L22" s="19">
        <f>F22-K22</f>
        <v>89.842500000000001</v>
      </c>
      <c r="M22" s="6">
        <f>C22*$C$9</f>
        <v>54.45</v>
      </c>
      <c r="N22" s="19">
        <f t="shared" ref="N22:N25" si="1">L22+I22-M22-J22</f>
        <v>29.385000000000005</v>
      </c>
      <c r="O22" s="6">
        <f t="shared" ref="O22:O25" si="2">$C$12</f>
        <v>0.11</v>
      </c>
      <c r="P22" s="6">
        <v>2</v>
      </c>
      <c r="Q22" s="32">
        <f>N22/(1+O22)^P22</f>
        <v>23.849525200876553</v>
      </c>
      <c r="AB22" s="58"/>
      <c r="AC22" s="58"/>
    </row>
    <row r="23" spans="2:33" x14ac:dyDescent="0.3">
      <c r="B23" s="6" t="s">
        <v>27</v>
      </c>
      <c r="C23" s="19">
        <f>C22*(1+D22)</f>
        <v>658.84500000000003</v>
      </c>
      <c r="D23" s="6">
        <f t="shared" si="0"/>
        <v>0.21</v>
      </c>
      <c r="E23" s="6">
        <v>0.23</v>
      </c>
      <c r="F23" s="19">
        <f>C23*E23</f>
        <v>151.53435000000002</v>
      </c>
      <c r="G23" s="19">
        <f>C23*7%</f>
        <v>46.119150000000005</v>
      </c>
      <c r="H23" s="6">
        <v>0.25</v>
      </c>
      <c r="I23" s="19">
        <f>G23*H23</f>
        <v>11.529787500000001</v>
      </c>
      <c r="J23" s="19">
        <f>(C23-C22)*15%</f>
        <v>17.151750000000003</v>
      </c>
      <c r="K23" s="19">
        <f>F23*25%</f>
        <v>37.883587500000004</v>
      </c>
      <c r="L23" s="19">
        <f>F23-K23</f>
        <v>113.65076250000001</v>
      </c>
      <c r="M23" s="19">
        <f>C23*$C$9</f>
        <v>65.884500000000003</v>
      </c>
      <c r="N23" s="19">
        <f t="shared" si="1"/>
        <v>42.144300000000001</v>
      </c>
      <c r="O23" s="6">
        <f t="shared" si="2"/>
        <v>0.11</v>
      </c>
      <c r="P23" s="6">
        <v>3</v>
      </c>
      <c r="Q23" s="32">
        <f>N23/(1+O23)^P23</f>
        <v>30.815548930961636</v>
      </c>
      <c r="AB23" s="58"/>
      <c r="AC23" s="58"/>
    </row>
    <row r="24" spans="2:33" x14ac:dyDescent="0.3">
      <c r="B24" s="6" t="s">
        <v>28</v>
      </c>
      <c r="C24" s="19">
        <f>C23*(1+D23)</f>
        <v>797.20245</v>
      </c>
      <c r="D24" s="6">
        <f t="shared" si="0"/>
        <v>0.21</v>
      </c>
      <c r="E24" s="6">
        <v>0.24</v>
      </c>
      <c r="F24" s="19">
        <f>C24*E24</f>
        <v>191.328588</v>
      </c>
      <c r="G24" s="19">
        <f>C24*8%</f>
        <v>63.776195999999999</v>
      </c>
      <c r="H24" s="6">
        <v>0.25</v>
      </c>
      <c r="I24" s="19">
        <f>G24*H24</f>
        <v>15.944049</v>
      </c>
      <c r="J24" s="19">
        <f>(C24-C23)*15%</f>
        <v>20.753617499999994</v>
      </c>
      <c r="K24" s="19">
        <f>F24*25%</f>
        <v>47.832146999999999</v>
      </c>
      <c r="L24" s="19">
        <f>F24-K24</f>
        <v>143.496441</v>
      </c>
      <c r="M24" s="19">
        <f>C24*$C$9</f>
        <v>79.720245000000006</v>
      </c>
      <c r="N24" s="19">
        <f t="shared" si="1"/>
        <v>58.966627500000016</v>
      </c>
      <c r="O24" s="6">
        <f t="shared" si="2"/>
        <v>0.11</v>
      </c>
      <c r="P24" s="6">
        <v>4</v>
      </c>
      <c r="Q24" s="32">
        <f>N24/(1+O24)^P24</f>
        <v>38.843143975120363</v>
      </c>
      <c r="AB24" s="58"/>
      <c r="AC24" s="58"/>
    </row>
    <row r="25" spans="2:33" ht="15.6" x14ac:dyDescent="0.3">
      <c r="B25" s="6" t="s">
        <v>29</v>
      </c>
      <c r="C25" s="19">
        <f>C24*(1+D24)</f>
        <v>964.61496449999993</v>
      </c>
      <c r="D25" s="6">
        <f t="shared" si="0"/>
        <v>0.21</v>
      </c>
      <c r="E25" s="6">
        <v>0.25</v>
      </c>
      <c r="F25" s="19">
        <f>C25*E25</f>
        <v>241.15374112499998</v>
      </c>
      <c r="G25" s="19">
        <f>C25*9%</f>
        <v>86.81534680499999</v>
      </c>
      <c r="H25" s="6">
        <v>0.25</v>
      </c>
      <c r="I25" s="19">
        <f>G25*H25</f>
        <v>21.703836701249998</v>
      </c>
      <c r="J25" s="19">
        <f>(C25-C24)*15%</f>
        <v>25.111877174999989</v>
      </c>
      <c r="K25" s="19">
        <f>F25*25%</f>
        <v>60.288435281249996</v>
      </c>
      <c r="L25" s="19">
        <f>F25-K25</f>
        <v>180.86530584374998</v>
      </c>
      <c r="M25" s="19">
        <f>C25*$C$9</f>
        <v>96.461496449999999</v>
      </c>
      <c r="N25" s="19">
        <f t="shared" si="1"/>
        <v>80.995768919999989</v>
      </c>
      <c r="O25" s="6">
        <f t="shared" si="2"/>
        <v>0.11</v>
      </c>
      <c r="P25" s="6">
        <v>5</v>
      </c>
      <c r="Q25" s="32">
        <f>N25/(1+O25)^P25</f>
        <v>48.067046632698123</v>
      </c>
      <c r="AB25" s="59" t="s">
        <v>30</v>
      </c>
      <c r="AC25" s="60"/>
      <c r="AD25" s="55"/>
      <c r="AE25" s="56"/>
      <c r="AF25" s="25"/>
      <c r="AG25" s="57"/>
    </row>
    <row r="26" spans="2:33" ht="15.6" x14ac:dyDescent="0.3">
      <c r="B26" s="15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25">
        <f>SUM(Q21:Q25)</f>
        <v>131.57526473965669</v>
      </c>
      <c r="Q26" s="33">
        <f>SUM(Q21:Q25)</f>
        <v>131.57526473965669</v>
      </c>
      <c r="AB26" s="61" t="s">
        <v>31</v>
      </c>
      <c r="AC26" s="62">
        <f>(N25*1.05)/(0.11-0.05)</f>
        <v>1417.4259560999999</v>
      </c>
      <c r="AD26" s="55"/>
      <c r="AE26" s="57"/>
      <c r="AF26" s="57"/>
      <c r="AG26" s="57"/>
    </row>
    <row r="27" spans="2:33" ht="15.6" x14ac:dyDescent="0.3">
      <c r="B27" s="3" t="s">
        <v>96</v>
      </c>
      <c r="C27" s="4"/>
      <c r="D27" s="27"/>
      <c r="E27" s="3" t="s">
        <v>98</v>
      </c>
      <c r="F27" s="4"/>
      <c r="G27" s="16"/>
      <c r="H27" s="3" t="s">
        <v>103</v>
      </c>
      <c r="I27" s="4"/>
      <c r="J27" s="17"/>
      <c r="K27" s="18"/>
      <c r="L27" s="17"/>
      <c r="M27" s="16"/>
      <c r="AB27" s="61" t="s">
        <v>32</v>
      </c>
      <c r="AC27" s="62">
        <f>AC26/(1+O25)^P25</f>
        <v>841.17331607221718</v>
      </c>
      <c r="AD27" s="57"/>
      <c r="AE27" s="57"/>
      <c r="AF27" s="57"/>
      <c r="AG27" s="57"/>
    </row>
    <row r="28" spans="2:33" ht="16.8" customHeight="1" x14ac:dyDescent="0.3">
      <c r="B28" s="26" t="s">
        <v>99</v>
      </c>
      <c r="C28" s="28">
        <v>81</v>
      </c>
      <c r="D28" s="15"/>
      <c r="E28" s="26" t="s">
        <v>102</v>
      </c>
      <c r="F28" s="26">
        <v>132</v>
      </c>
      <c r="G28" s="16"/>
      <c r="H28" s="26" t="s">
        <v>98</v>
      </c>
      <c r="I28" s="34">
        <f>F30</f>
        <v>973.17331607221718</v>
      </c>
      <c r="J28" s="26"/>
      <c r="AB28" s="61" t="s">
        <v>33</v>
      </c>
      <c r="AC28" s="62">
        <f>AC27+P26</f>
        <v>972.74858081187381</v>
      </c>
      <c r="AD28" s="57"/>
      <c r="AE28" s="57"/>
      <c r="AF28" s="57"/>
      <c r="AG28" s="57"/>
    </row>
    <row r="29" spans="2:33" ht="15.6" x14ac:dyDescent="0.3">
      <c r="B29" s="26" t="s">
        <v>18</v>
      </c>
      <c r="C29" s="29">
        <v>0.05</v>
      </c>
      <c r="E29" s="26" t="s">
        <v>97</v>
      </c>
      <c r="F29" s="34">
        <f>C32</f>
        <v>841.17331607221718</v>
      </c>
      <c r="H29" s="26" t="s">
        <v>104</v>
      </c>
      <c r="I29" s="26">
        <v>200</v>
      </c>
      <c r="J29" s="26"/>
      <c r="AB29" s="61" t="s">
        <v>34</v>
      </c>
      <c r="AC29" s="62">
        <f>AC28+200</f>
        <v>1172.7485808118738</v>
      </c>
      <c r="AD29" s="57"/>
      <c r="AE29" s="57"/>
      <c r="AF29" s="57"/>
      <c r="AG29" s="57"/>
    </row>
    <row r="30" spans="2:33" ht="15.6" x14ac:dyDescent="0.3">
      <c r="B30" s="26" t="s">
        <v>13</v>
      </c>
      <c r="C30" s="29">
        <v>0.11</v>
      </c>
      <c r="E30" s="30" t="s">
        <v>98</v>
      </c>
      <c r="F30" s="31">
        <f>SUM(F28:F29)</f>
        <v>973.17331607221718</v>
      </c>
      <c r="H30" s="26" t="s">
        <v>103</v>
      </c>
      <c r="I30" s="36">
        <f>I29+I28</f>
        <v>1173.1733160722172</v>
      </c>
      <c r="AB30" s="61" t="s">
        <v>35</v>
      </c>
      <c r="AC30" s="63">
        <f>AC29/C14</f>
        <v>271.1557412281789</v>
      </c>
      <c r="AD30" s="57"/>
      <c r="AE30" s="57"/>
      <c r="AF30" s="57"/>
      <c r="AG30" s="57"/>
    </row>
    <row r="31" spans="2:33" ht="15.6" customHeight="1" x14ac:dyDescent="0.3">
      <c r="B31" s="26" t="s">
        <v>100</v>
      </c>
      <c r="C31" s="28">
        <f>(N25*1.05)/(0.11-0.05)</f>
        <v>1417.4259560999999</v>
      </c>
      <c r="E31" s="26"/>
      <c r="F31" s="26"/>
      <c r="H31" s="26" t="s">
        <v>105</v>
      </c>
      <c r="I31" s="37">
        <v>4.3250000000000002</v>
      </c>
      <c r="AB31" s="58"/>
      <c r="AC31" s="58"/>
    </row>
    <row r="32" spans="2:33" x14ac:dyDescent="0.3">
      <c r="B32" s="30" t="s">
        <v>101</v>
      </c>
      <c r="C32" s="31">
        <f>AC26/(1+O25)^P25</f>
        <v>841.17331607221718</v>
      </c>
      <c r="E32" s="26"/>
      <c r="F32" s="26"/>
      <c r="H32" s="35" t="s">
        <v>106</v>
      </c>
      <c r="I32" s="38">
        <f>I30/I31</f>
        <v>271.25394591265137</v>
      </c>
      <c r="AB32" s="58"/>
      <c r="AC32" s="58"/>
    </row>
    <row r="33" spans="2:29" x14ac:dyDescent="0.3">
      <c r="AB33" s="58"/>
      <c r="AC33" s="58"/>
    </row>
    <row r="34" spans="2:29" ht="15.6" x14ac:dyDescent="0.3">
      <c r="B34" s="3" t="s">
        <v>0</v>
      </c>
      <c r="C34" s="4"/>
      <c r="D34" s="4"/>
      <c r="E34" s="4"/>
      <c r="F34" s="4"/>
      <c r="G34" s="4"/>
      <c r="H34" s="4"/>
      <c r="I34" s="4"/>
      <c r="J34" s="4"/>
      <c r="K34" s="4"/>
      <c r="L34" s="4"/>
    </row>
    <row r="35" spans="2:29" x14ac:dyDescent="0.3">
      <c r="H35" s="40"/>
    </row>
    <row r="36" spans="2:29" x14ac:dyDescent="0.3">
      <c r="B36" s="51" t="s">
        <v>108</v>
      </c>
      <c r="C36" s="51"/>
      <c r="D36" s="51"/>
      <c r="E36" s="51"/>
      <c r="F36" s="51"/>
      <c r="G36" s="51"/>
      <c r="H36" s="41"/>
      <c r="I36" s="51" t="s">
        <v>109</v>
      </c>
      <c r="J36" s="51"/>
      <c r="K36" s="51"/>
      <c r="L36" s="51"/>
    </row>
    <row r="37" spans="2:29" x14ac:dyDescent="0.3">
      <c r="B37" s="39"/>
      <c r="C37" s="44" t="s">
        <v>13</v>
      </c>
      <c r="D37" s="45"/>
      <c r="E37" s="45"/>
      <c r="F37" s="45"/>
      <c r="G37" s="46"/>
      <c r="H37" s="41"/>
      <c r="I37" s="5"/>
      <c r="J37" s="44" t="s">
        <v>36</v>
      </c>
      <c r="K37" s="45"/>
      <c r="L37" s="46"/>
    </row>
    <row r="38" spans="2:29" x14ac:dyDescent="0.3">
      <c r="B38" s="48" t="s">
        <v>37</v>
      </c>
      <c r="C38" s="47">
        <v>0.09</v>
      </c>
      <c r="D38" s="47">
        <v>0.1</v>
      </c>
      <c r="E38" s="48" t="s">
        <v>38</v>
      </c>
      <c r="F38" s="47">
        <v>0.12</v>
      </c>
      <c r="G38" s="47">
        <v>0.13</v>
      </c>
      <c r="H38" s="41"/>
      <c r="I38" s="50" t="s">
        <v>39</v>
      </c>
      <c r="J38" s="47">
        <v>0.05</v>
      </c>
      <c r="K38" s="47">
        <v>0.1</v>
      </c>
      <c r="L38" s="47">
        <v>0.15</v>
      </c>
    </row>
    <row r="39" spans="2:29" x14ac:dyDescent="0.3">
      <c r="B39" s="49">
        <v>0.15</v>
      </c>
      <c r="C39" s="42">
        <v>264</v>
      </c>
      <c r="D39" s="42">
        <v>255</v>
      </c>
      <c r="E39" s="42">
        <v>246</v>
      </c>
      <c r="F39" s="42">
        <v>237</v>
      </c>
      <c r="G39" s="54">
        <v>229</v>
      </c>
      <c r="H39" s="41"/>
      <c r="I39" s="49">
        <v>0.15</v>
      </c>
      <c r="J39" s="71">
        <v>366</v>
      </c>
      <c r="K39" s="71">
        <v>246</v>
      </c>
      <c r="L39" s="72">
        <v>126</v>
      </c>
    </row>
    <row r="40" spans="2:29" x14ac:dyDescent="0.3">
      <c r="B40" s="49">
        <v>0.17</v>
      </c>
      <c r="C40" s="42">
        <v>273</v>
      </c>
      <c r="D40" s="42">
        <v>264</v>
      </c>
      <c r="E40" s="42">
        <v>254</v>
      </c>
      <c r="F40" s="42">
        <v>245</v>
      </c>
      <c r="G40" s="42">
        <v>237</v>
      </c>
      <c r="H40" s="41"/>
      <c r="I40" s="49">
        <v>0.17</v>
      </c>
      <c r="J40" s="71">
        <v>382</v>
      </c>
      <c r="K40" s="71">
        <v>254</v>
      </c>
      <c r="L40" s="71">
        <v>127</v>
      </c>
    </row>
    <row r="41" spans="2:29" x14ac:dyDescent="0.3">
      <c r="B41" s="49">
        <v>0.19</v>
      </c>
      <c r="C41" s="42">
        <v>283</v>
      </c>
      <c r="D41" s="42">
        <v>272</v>
      </c>
      <c r="E41" s="42">
        <v>263</v>
      </c>
      <c r="F41" s="42">
        <v>253</v>
      </c>
      <c r="G41" s="42">
        <v>245</v>
      </c>
      <c r="H41" s="41"/>
      <c r="I41" s="49">
        <v>0.19</v>
      </c>
      <c r="J41" s="71">
        <v>398</v>
      </c>
      <c r="K41" s="71">
        <v>263</v>
      </c>
      <c r="L41" s="71">
        <v>127</v>
      </c>
    </row>
    <row r="42" spans="2:29" x14ac:dyDescent="0.3">
      <c r="B42" s="49">
        <v>0.21</v>
      </c>
      <c r="C42" s="42">
        <v>292</v>
      </c>
      <c r="D42" s="42">
        <v>281</v>
      </c>
      <c r="E42" s="52">
        <v>271</v>
      </c>
      <c r="F42" s="42">
        <v>262</v>
      </c>
      <c r="G42" s="43">
        <v>252</v>
      </c>
      <c r="H42" s="41"/>
      <c r="I42" s="49">
        <v>0.21</v>
      </c>
      <c r="J42" s="71">
        <v>415</v>
      </c>
      <c r="K42" s="73">
        <v>271</v>
      </c>
      <c r="L42" s="71">
        <v>127</v>
      </c>
    </row>
    <row r="43" spans="2:29" x14ac:dyDescent="0.3">
      <c r="B43" s="49">
        <v>0.23</v>
      </c>
      <c r="C43" s="42">
        <v>302</v>
      </c>
      <c r="D43" s="42">
        <v>290</v>
      </c>
      <c r="E43" s="42">
        <v>280</v>
      </c>
      <c r="F43" s="42">
        <v>270</v>
      </c>
      <c r="G43" s="42">
        <v>260</v>
      </c>
      <c r="I43" s="49">
        <v>0.23</v>
      </c>
      <c r="J43" s="71">
        <v>433</v>
      </c>
      <c r="K43" s="71">
        <v>280</v>
      </c>
      <c r="L43" s="71">
        <v>127</v>
      </c>
    </row>
    <row r="44" spans="2:29" x14ac:dyDescent="0.3">
      <c r="B44" s="49">
        <v>0.25</v>
      </c>
      <c r="C44" s="53">
        <v>311</v>
      </c>
      <c r="D44" s="42">
        <v>300</v>
      </c>
      <c r="E44" s="42">
        <v>289</v>
      </c>
      <c r="F44" s="42">
        <v>278</v>
      </c>
      <c r="G44" s="42">
        <v>269</v>
      </c>
      <c r="I44" s="49">
        <v>0.25</v>
      </c>
      <c r="J44" s="74">
        <v>451</v>
      </c>
      <c r="K44" s="71">
        <v>289</v>
      </c>
      <c r="L44" s="71">
        <v>127</v>
      </c>
    </row>
    <row r="45" spans="2:29" x14ac:dyDescent="0.3">
      <c r="C45" s="27"/>
      <c r="D45" s="27"/>
      <c r="E45" s="27"/>
    </row>
    <row r="46" spans="2:29" x14ac:dyDescent="0.3">
      <c r="B46" s="40" t="s">
        <v>110</v>
      </c>
      <c r="C46" s="41"/>
      <c r="D46" s="41"/>
      <c r="E46" s="41"/>
      <c r="F46" s="40"/>
      <c r="G46" s="40"/>
      <c r="H46" s="40"/>
      <c r="I46" s="40" t="s">
        <v>110</v>
      </c>
      <c r="J46" s="41"/>
      <c r="K46" s="41"/>
      <c r="L46" s="40"/>
    </row>
    <row r="47" spans="2:29" x14ac:dyDescent="0.3">
      <c r="B47" s="67" t="s">
        <v>111</v>
      </c>
      <c r="C47" s="64" t="s">
        <v>119</v>
      </c>
      <c r="D47" s="75">
        <v>311</v>
      </c>
      <c r="E47" s="41"/>
      <c r="F47" s="40"/>
      <c r="G47" s="40"/>
      <c r="H47" s="40"/>
      <c r="I47" s="67" t="s">
        <v>111</v>
      </c>
      <c r="J47" s="64" t="s">
        <v>116</v>
      </c>
      <c r="K47" s="64"/>
      <c r="L47" s="75">
        <v>451</v>
      </c>
      <c r="M47" s="41"/>
      <c r="N47" s="41"/>
    </row>
    <row r="48" spans="2:29" x14ac:dyDescent="0.3">
      <c r="B48" s="65" t="s">
        <v>112</v>
      </c>
      <c r="C48" s="64" t="s">
        <v>120</v>
      </c>
      <c r="D48" s="75">
        <v>271</v>
      </c>
      <c r="E48" s="41"/>
      <c r="F48" s="40"/>
      <c r="G48" s="40"/>
      <c r="H48" s="40"/>
      <c r="I48" s="65" t="s">
        <v>115</v>
      </c>
      <c r="J48" s="64" t="s">
        <v>117</v>
      </c>
      <c r="K48" s="64"/>
      <c r="L48" s="75">
        <v>271</v>
      </c>
      <c r="M48" s="41"/>
      <c r="N48" s="41"/>
    </row>
    <row r="49" spans="2:14" x14ac:dyDescent="0.3">
      <c r="B49" s="66" t="s">
        <v>113</v>
      </c>
      <c r="C49" s="64" t="s">
        <v>114</v>
      </c>
      <c r="D49" s="75">
        <v>229</v>
      </c>
      <c r="E49" s="41"/>
      <c r="F49" s="40"/>
      <c r="G49" s="40"/>
      <c r="H49" s="40"/>
      <c r="I49" s="66" t="s">
        <v>113</v>
      </c>
      <c r="J49" s="64" t="s">
        <v>118</v>
      </c>
      <c r="K49" s="64"/>
      <c r="L49" s="75">
        <v>126</v>
      </c>
      <c r="M49" s="41"/>
      <c r="N49" s="41"/>
    </row>
    <row r="50" spans="2:14" x14ac:dyDescent="0.3">
      <c r="B50" s="40"/>
      <c r="C50" s="41"/>
      <c r="D50" s="41"/>
      <c r="E50" s="41"/>
      <c r="F50" s="40"/>
      <c r="G50" s="40"/>
      <c r="H50" s="40"/>
      <c r="I50" s="40"/>
      <c r="J50" s="40"/>
      <c r="K50" s="40"/>
      <c r="L50" s="40"/>
    </row>
    <row r="51" spans="2:14" x14ac:dyDescent="0.3">
      <c r="B51" s="40"/>
      <c r="C51" s="40"/>
      <c r="D51" s="40"/>
      <c r="E51" s="40"/>
      <c r="F51" s="40"/>
      <c r="G51" s="40"/>
      <c r="H51" s="40"/>
      <c r="I51" s="40"/>
      <c r="J51" s="40"/>
      <c r="K51" s="40"/>
      <c r="L51" s="68"/>
      <c r="M51" s="68"/>
      <c r="N51" s="68"/>
    </row>
    <row r="52" spans="2:14" ht="15.6" x14ac:dyDescent="0.3">
      <c r="B52" s="3" t="s">
        <v>134</v>
      </c>
      <c r="C52" s="4"/>
      <c r="D52" s="40"/>
      <c r="E52" s="40"/>
      <c r="F52" s="40"/>
      <c r="G52" s="40"/>
      <c r="H52" s="40"/>
      <c r="I52" s="40"/>
      <c r="J52" s="40"/>
      <c r="K52" s="40"/>
      <c r="L52" s="70"/>
      <c r="M52" s="69"/>
      <c r="N52" s="68"/>
    </row>
    <row r="53" spans="2:14" x14ac:dyDescent="0.3">
      <c r="B53" s="91" t="s">
        <v>136</v>
      </c>
      <c r="C53" s="58"/>
      <c r="D53" s="58"/>
      <c r="E53" s="58"/>
      <c r="F53" s="58"/>
      <c r="G53" s="58"/>
      <c r="H53" s="58"/>
      <c r="K53" s="40"/>
      <c r="L53" s="70"/>
      <c r="M53" s="69"/>
      <c r="N53" s="68"/>
    </row>
    <row r="54" spans="2:14" x14ac:dyDescent="0.3">
      <c r="B54" s="91" t="s">
        <v>135</v>
      </c>
      <c r="C54" s="58"/>
      <c r="D54" s="58"/>
      <c r="E54" s="58"/>
      <c r="F54" s="58"/>
      <c r="G54" s="58"/>
      <c r="H54" s="58"/>
      <c r="K54" s="40"/>
      <c r="L54" s="70"/>
      <c r="M54" s="69"/>
      <c r="N54" s="68"/>
    </row>
    <row r="55" spans="2:14" x14ac:dyDescent="0.3">
      <c r="B55" s="91" t="s">
        <v>137</v>
      </c>
      <c r="C55" s="58"/>
      <c r="D55" s="58"/>
      <c r="E55" s="58"/>
      <c r="F55" s="58"/>
      <c r="G55" s="58"/>
      <c r="H55" s="58"/>
      <c r="K55" s="40"/>
      <c r="L55" s="40"/>
    </row>
    <row r="56" spans="2:14" x14ac:dyDescent="0.3">
      <c r="B56" s="91" t="s">
        <v>138</v>
      </c>
      <c r="C56" s="58"/>
      <c r="D56" s="58"/>
      <c r="E56" s="58"/>
      <c r="F56" s="58"/>
      <c r="G56" s="58"/>
      <c r="H56" s="58"/>
    </row>
    <row r="57" spans="2:14" x14ac:dyDescent="0.3">
      <c r="B57" s="92"/>
      <c r="C57" s="58"/>
      <c r="D57" s="58"/>
      <c r="E57" s="58"/>
      <c r="F57" s="58"/>
      <c r="G57" s="58"/>
      <c r="H57" s="58"/>
    </row>
  </sheetData>
  <mergeCells count="4">
    <mergeCell ref="C37:G37"/>
    <mergeCell ref="J37:L37"/>
    <mergeCell ref="B36:G36"/>
    <mergeCell ref="I36:L3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AD338-90EF-406A-B79B-6A22CB7C5F0C}">
  <dimension ref="A1:M34"/>
  <sheetViews>
    <sheetView topLeftCell="A10" workbookViewId="0">
      <selection activeCell="D27" sqref="D27:G27"/>
    </sheetView>
  </sheetViews>
  <sheetFormatPr defaultRowHeight="14.4" x14ac:dyDescent="0.3"/>
  <cols>
    <col min="1" max="1" width="4.88671875" customWidth="1"/>
    <col min="2" max="2" width="21.109375" customWidth="1"/>
    <col min="3" max="3" width="17.5546875" customWidth="1"/>
    <col min="4" max="4" width="18.44140625" customWidth="1"/>
    <col min="5" max="5" width="15.109375" customWidth="1"/>
    <col min="6" max="6" width="13.21875" customWidth="1"/>
    <col min="7" max="7" width="20.5546875" customWidth="1"/>
    <col min="9" max="9" width="13.88671875" customWidth="1"/>
  </cols>
  <sheetData>
    <row r="1" spans="1:13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3">
      <c r="A2" s="1"/>
      <c r="B2" s="2" t="s">
        <v>40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4" spans="1:13" x14ac:dyDescent="0.3">
      <c r="B4" s="76" t="s">
        <v>41</v>
      </c>
      <c r="C4" s="4"/>
      <c r="D4" s="4"/>
      <c r="E4" s="4"/>
    </row>
    <row r="5" spans="1:13" ht="27.6" x14ac:dyDescent="0.3">
      <c r="B5" s="5" t="s">
        <v>42</v>
      </c>
      <c r="C5" s="5" t="s">
        <v>43</v>
      </c>
      <c r="D5" s="5" t="s">
        <v>44</v>
      </c>
      <c r="E5" s="5" t="s">
        <v>45</v>
      </c>
    </row>
    <row r="6" spans="1:13" x14ac:dyDescent="0.3">
      <c r="B6" s="6" t="s">
        <v>46</v>
      </c>
      <c r="C6" s="6">
        <v>238</v>
      </c>
      <c r="D6" s="6">
        <v>166</v>
      </c>
      <c r="E6" s="6">
        <v>1.4</v>
      </c>
    </row>
    <row r="7" spans="1:13" x14ac:dyDescent="0.3">
      <c r="B7" s="6" t="s">
        <v>47</v>
      </c>
      <c r="C7" s="21">
        <v>1000</v>
      </c>
      <c r="D7" s="6">
        <v>374</v>
      </c>
      <c r="E7" s="6">
        <v>2.7</v>
      </c>
    </row>
    <row r="8" spans="1:13" x14ac:dyDescent="0.3">
      <c r="B8" s="6" t="s">
        <v>48</v>
      </c>
      <c r="C8" s="6">
        <v>675</v>
      </c>
      <c r="D8" s="6">
        <v>700</v>
      </c>
      <c r="E8" s="6">
        <v>1</v>
      </c>
    </row>
    <row r="9" spans="1:13" x14ac:dyDescent="0.3">
      <c r="B9" s="6" t="s">
        <v>49</v>
      </c>
      <c r="C9" s="21">
        <v>1077</v>
      </c>
      <c r="D9" s="6">
        <v>780</v>
      </c>
      <c r="E9" s="6">
        <v>1.4</v>
      </c>
    </row>
    <row r="10" spans="1:13" x14ac:dyDescent="0.3">
      <c r="B10" s="6" t="s">
        <v>50</v>
      </c>
      <c r="C10" s="6">
        <v>800</v>
      </c>
      <c r="D10" s="6">
        <v>675</v>
      </c>
      <c r="E10" s="6">
        <v>1.2</v>
      </c>
    </row>
    <row r="11" spans="1:13" x14ac:dyDescent="0.3">
      <c r="B11" s="6" t="s">
        <v>51</v>
      </c>
      <c r="C11" s="21">
        <v>245000</v>
      </c>
      <c r="D11" s="21">
        <v>23470</v>
      </c>
      <c r="E11" s="6">
        <v>10.4</v>
      </c>
    </row>
    <row r="12" spans="1:13" x14ac:dyDescent="0.3">
      <c r="B12" s="22" t="s">
        <v>52</v>
      </c>
      <c r="C12" s="22" t="s">
        <v>53</v>
      </c>
      <c r="D12" s="22" t="s">
        <v>53</v>
      </c>
      <c r="E12" s="22">
        <v>1.4</v>
      </c>
    </row>
    <row r="14" spans="1:13" x14ac:dyDescent="0.3">
      <c r="B14" s="78" t="s">
        <v>54</v>
      </c>
      <c r="C14" s="78"/>
      <c r="D14" s="78"/>
      <c r="E14" s="78"/>
    </row>
    <row r="17" spans="2:11" x14ac:dyDescent="0.3">
      <c r="B17" s="76" t="s">
        <v>55</v>
      </c>
      <c r="C17" s="4"/>
      <c r="D17" s="4"/>
      <c r="E17" s="4"/>
      <c r="F17" s="4"/>
      <c r="G17" s="4"/>
      <c r="H17" s="4"/>
      <c r="I17" s="4"/>
      <c r="J17" s="4"/>
      <c r="K17" s="4"/>
    </row>
    <row r="18" spans="2:11" x14ac:dyDescent="0.3">
      <c r="B18" s="5" t="s">
        <v>42</v>
      </c>
      <c r="C18" s="5" t="s">
        <v>56</v>
      </c>
      <c r="D18" s="5" t="s">
        <v>57</v>
      </c>
      <c r="E18" s="5" t="s">
        <v>58</v>
      </c>
      <c r="F18" s="5" t="s">
        <v>23</v>
      </c>
      <c r="G18" s="5" t="s">
        <v>59</v>
      </c>
      <c r="H18" s="5" t="s">
        <v>60</v>
      </c>
      <c r="I18" s="5" t="s">
        <v>61</v>
      </c>
      <c r="J18" s="5" t="s">
        <v>62</v>
      </c>
      <c r="K18" s="23" t="s">
        <v>63</v>
      </c>
    </row>
    <row r="19" spans="2:11" x14ac:dyDescent="0.3">
      <c r="B19" s="6" t="s">
        <v>47</v>
      </c>
      <c r="C19" s="6">
        <v>5707</v>
      </c>
      <c r="D19" s="6">
        <v>708</v>
      </c>
      <c r="E19" s="6">
        <v>374</v>
      </c>
      <c r="F19" s="6">
        <v>104</v>
      </c>
      <c r="G19" s="6">
        <v>80</v>
      </c>
      <c r="H19" s="6">
        <v>93</v>
      </c>
      <c r="I19" s="6">
        <v>56</v>
      </c>
      <c r="J19" s="6">
        <v>9.1</v>
      </c>
      <c r="K19" s="6">
        <v>15.3</v>
      </c>
    </row>
    <row r="20" spans="2:11" x14ac:dyDescent="0.3">
      <c r="B20" s="6" t="s">
        <v>48</v>
      </c>
      <c r="C20" s="6">
        <v>3500</v>
      </c>
      <c r="D20" s="6">
        <v>1200</v>
      </c>
      <c r="E20" s="6">
        <v>700</v>
      </c>
      <c r="F20" s="6">
        <v>150</v>
      </c>
      <c r="G20" s="6">
        <v>153</v>
      </c>
      <c r="H20" s="6">
        <v>35</v>
      </c>
      <c r="I20" s="6">
        <v>29</v>
      </c>
      <c r="J20" s="6">
        <v>7.9</v>
      </c>
      <c r="K20" s="6">
        <v>5</v>
      </c>
    </row>
    <row r="21" spans="2:11" x14ac:dyDescent="0.3">
      <c r="B21" s="6" t="s">
        <v>49</v>
      </c>
      <c r="C21" s="6">
        <v>15415</v>
      </c>
      <c r="D21" s="6">
        <v>2752</v>
      </c>
      <c r="E21" s="6">
        <v>780</v>
      </c>
      <c r="F21" s="6">
        <v>275</v>
      </c>
      <c r="G21" s="6">
        <v>269</v>
      </c>
      <c r="H21" s="6">
        <v>69</v>
      </c>
      <c r="I21" s="6">
        <v>51</v>
      </c>
      <c r="J21" s="6">
        <v>10.199999999999999</v>
      </c>
      <c r="K21" s="6">
        <v>19.8</v>
      </c>
    </row>
    <row r="22" spans="2:11" x14ac:dyDescent="0.3">
      <c r="B22" s="6" t="s">
        <v>50</v>
      </c>
      <c r="C22" s="6">
        <v>7896</v>
      </c>
      <c r="D22" s="6">
        <v>1650</v>
      </c>
      <c r="E22" s="6">
        <v>675</v>
      </c>
      <c r="F22" s="6">
        <v>121</v>
      </c>
      <c r="G22" s="6">
        <v>202</v>
      </c>
      <c r="H22" s="6">
        <v>149</v>
      </c>
      <c r="I22" s="6">
        <v>51</v>
      </c>
      <c r="J22" s="6">
        <v>8.1999999999999993</v>
      </c>
      <c r="K22" s="6">
        <v>11.7</v>
      </c>
    </row>
    <row r="23" spans="2:11" ht="27.6" x14ac:dyDescent="0.3">
      <c r="B23" s="6" t="s">
        <v>64</v>
      </c>
      <c r="C23" s="6">
        <v>250000</v>
      </c>
      <c r="D23" s="6">
        <v>4800</v>
      </c>
      <c r="E23" s="6">
        <v>23470</v>
      </c>
      <c r="F23" s="6">
        <v>9350</v>
      </c>
      <c r="G23" s="6">
        <v>516</v>
      </c>
      <c r="H23" s="6">
        <v>30</v>
      </c>
      <c r="I23" s="6">
        <v>26</v>
      </c>
      <c r="J23" s="6">
        <v>9.3000000000000007</v>
      </c>
      <c r="K23" s="6">
        <v>10.7</v>
      </c>
    </row>
    <row r="24" spans="2:11" x14ac:dyDescent="0.3">
      <c r="B24" s="22" t="s">
        <v>65</v>
      </c>
      <c r="C24" s="22" t="s">
        <v>53</v>
      </c>
      <c r="D24" s="22" t="s">
        <v>53</v>
      </c>
      <c r="E24" s="22" t="s">
        <v>53</v>
      </c>
      <c r="F24" s="22" t="s">
        <v>53</v>
      </c>
      <c r="G24" s="22" t="s">
        <v>53</v>
      </c>
      <c r="H24" s="22">
        <f>MEDIAN(H19:H23)</f>
        <v>69</v>
      </c>
      <c r="I24" s="22">
        <f t="shared" ref="I24:K24" si="0">MEDIAN(I19:I23)</f>
        <v>51</v>
      </c>
      <c r="J24" s="22">
        <f t="shared" si="0"/>
        <v>9.1</v>
      </c>
      <c r="K24" s="22">
        <f t="shared" si="0"/>
        <v>11.7</v>
      </c>
    </row>
    <row r="27" spans="2:11" x14ac:dyDescent="0.3">
      <c r="B27" s="76" t="s">
        <v>66</v>
      </c>
      <c r="C27" s="4"/>
      <c r="D27" s="4"/>
      <c r="E27" s="4"/>
      <c r="F27" s="4"/>
      <c r="G27" s="4"/>
    </row>
    <row r="28" spans="2:11" x14ac:dyDescent="0.3">
      <c r="B28" s="5" t="s">
        <v>67</v>
      </c>
      <c r="C28" s="5" t="s">
        <v>46</v>
      </c>
      <c r="D28" s="5" t="s">
        <v>65</v>
      </c>
      <c r="E28" s="5" t="s">
        <v>68</v>
      </c>
      <c r="F28" s="5" t="s">
        <v>69</v>
      </c>
      <c r="G28" s="5" t="s">
        <v>70</v>
      </c>
    </row>
    <row r="29" spans="2:11" x14ac:dyDescent="0.3">
      <c r="B29" s="6" t="s">
        <v>71</v>
      </c>
      <c r="C29" s="19">
        <f>487/(80/4.3)</f>
        <v>26.17625</v>
      </c>
      <c r="D29" s="22">
        <v>69</v>
      </c>
      <c r="E29" s="20">
        <f>2098*D29/C29</f>
        <v>5530.2803113509381</v>
      </c>
      <c r="F29" s="20">
        <f>E29/4.3</f>
        <v>1286.1117003141717</v>
      </c>
      <c r="G29" s="20" t="s">
        <v>72</v>
      </c>
      <c r="I29" s="18"/>
    </row>
    <row r="30" spans="2:11" x14ac:dyDescent="0.3">
      <c r="B30" s="6" t="s">
        <v>73</v>
      </c>
      <c r="C30" s="19">
        <f>1907/95</f>
        <v>20.073684210526316</v>
      </c>
      <c r="D30" s="22">
        <v>51</v>
      </c>
      <c r="E30" s="20">
        <f>95*D30</f>
        <v>4845</v>
      </c>
      <c r="F30" s="20">
        <f>E30/4.3</f>
        <v>1126.7441860465117</v>
      </c>
      <c r="G30" s="20" t="s">
        <v>74</v>
      </c>
    </row>
    <row r="31" spans="2:11" x14ac:dyDescent="0.3">
      <c r="B31" s="6" t="s">
        <v>75</v>
      </c>
      <c r="C31" s="6">
        <v>3.37</v>
      </c>
      <c r="D31" s="22">
        <v>9.1</v>
      </c>
      <c r="E31" s="20">
        <f>2098*D31/C31</f>
        <v>5665.2225519287831</v>
      </c>
      <c r="F31" s="20">
        <f>(E31/4.3)</f>
        <v>1317.4936167276239</v>
      </c>
      <c r="G31" s="20" t="s">
        <v>76</v>
      </c>
    </row>
    <row r="32" spans="2:11" x14ac:dyDescent="0.3">
      <c r="B32" s="6" t="s">
        <v>77</v>
      </c>
      <c r="C32" s="19">
        <f>2098/450</f>
        <v>4.6622222222222218</v>
      </c>
      <c r="D32" s="22">
        <v>11.7</v>
      </c>
      <c r="E32" s="20">
        <f>2098*D32/C32</f>
        <v>5265</v>
      </c>
      <c r="F32" s="20">
        <f t="shared" ref="F32" si="1">E32/4.3</f>
        <v>1224.4186046511629</v>
      </c>
      <c r="G32" s="20" t="s">
        <v>78</v>
      </c>
    </row>
    <row r="33" spans="2:7" x14ac:dyDescent="0.3">
      <c r="B33" s="6" t="s">
        <v>79</v>
      </c>
      <c r="C33" s="6"/>
      <c r="D33" s="6"/>
      <c r="E33" s="6"/>
      <c r="F33" s="20">
        <f>AVERAGE(F29:F32)</f>
        <v>1238.6920269348675</v>
      </c>
      <c r="G33" s="20"/>
    </row>
    <row r="34" spans="2:7" x14ac:dyDescent="0.3">
      <c r="B34" s="6" t="s">
        <v>80</v>
      </c>
      <c r="C34" s="6"/>
      <c r="D34" s="6"/>
      <c r="E34" s="6"/>
      <c r="F34" s="79">
        <f>F33*4.3</f>
        <v>5326.3757158199296</v>
      </c>
      <c r="G34" s="2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92717-9E90-4CB8-A32C-65C3ABF597E3}">
  <dimension ref="A1:M22"/>
  <sheetViews>
    <sheetView workbookViewId="0">
      <selection activeCell="K8" sqref="K8"/>
    </sheetView>
  </sheetViews>
  <sheetFormatPr defaultRowHeight="14.4" x14ac:dyDescent="0.3"/>
  <cols>
    <col min="1" max="1" width="4.33203125" customWidth="1"/>
    <col min="2" max="2" width="27" customWidth="1"/>
    <col min="3" max="3" width="9.44140625" customWidth="1"/>
    <col min="5" max="5" width="20.109375" customWidth="1"/>
    <col min="8" max="8" width="23.5546875" customWidth="1"/>
  </cols>
  <sheetData>
    <row r="1" spans="1:13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3">
      <c r="A2" s="1"/>
      <c r="B2" s="2" t="s">
        <v>81</v>
      </c>
      <c r="C2" s="1"/>
      <c r="D2" s="1"/>
      <c r="E2" s="1"/>
      <c r="F2" s="1"/>
      <c r="G2" s="1"/>
      <c r="H2" s="1"/>
      <c r="I2" s="1"/>
      <c r="J2" s="1"/>
      <c r="K2" s="1"/>
      <c r="L2" s="1"/>
      <c r="M2" s="2"/>
    </row>
    <row r="4" spans="1:13" x14ac:dyDescent="0.3">
      <c r="B4" s="76" t="s">
        <v>82</v>
      </c>
      <c r="C4" s="4"/>
      <c r="D4" s="4"/>
      <c r="E4" s="4"/>
      <c r="F4" s="4"/>
    </row>
    <row r="5" spans="1:13" x14ac:dyDescent="0.3">
      <c r="B5" s="5" t="s">
        <v>83</v>
      </c>
      <c r="C5" s="5" t="s">
        <v>141</v>
      </c>
      <c r="D5" s="5" t="s">
        <v>84</v>
      </c>
      <c r="E5" s="5" t="s">
        <v>85</v>
      </c>
      <c r="F5" s="5" t="s">
        <v>86</v>
      </c>
      <c r="H5" s="80" t="s">
        <v>110</v>
      </c>
      <c r="I5" s="58"/>
      <c r="J5" s="58"/>
    </row>
    <row r="6" spans="1:13" x14ac:dyDescent="0.3">
      <c r="B6" s="6" t="s">
        <v>40</v>
      </c>
      <c r="C6" s="20">
        <f>'[1]CCA &amp; OrderBook'!F33</f>
        <v>1238.6920269348675</v>
      </c>
      <c r="D6" s="6">
        <v>0.3</v>
      </c>
      <c r="E6" s="20">
        <f>C6*D6</f>
        <v>371.60760808046024</v>
      </c>
      <c r="F6" s="20">
        <f>E6*4.3</f>
        <v>1597.912714745979</v>
      </c>
      <c r="H6" s="77" t="s">
        <v>121</v>
      </c>
      <c r="I6" s="58"/>
      <c r="J6" s="58"/>
    </row>
    <row r="7" spans="1:13" x14ac:dyDescent="0.3">
      <c r="B7" s="6" t="s">
        <v>87</v>
      </c>
      <c r="C7" s="20">
        <f>'[1]DCF+Sensitivity'!C33</f>
        <v>271.1557412281789</v>
      </c>
      <c r="D7" s="6">
        <v>0.5</v>
      </c>
      <c r="E7" s="20">
        <f t="shared" ref="E7:E8" si="0">C7*D7</f>
        <v>135.57787061408945</v>
      </c>
      <c r="F7" s="20">
        <f t="shared" ref="F7:F8" si="1">E7*4.3</f>
        <v>582.98484364058459</v>
      </c>
      <c r="H7" s="13" t="s">
        <v>122</v>
      </c>
    </row>
    <row r="8" spans="1:13" x14ac:dyDescent="0.3">
      <c r="B8" s="6" t="s">
        <v>41</v>
      </c>
      <c r="C8" s="6">
        <v>487</v>
      </c>
      <c r="D8" s="6">
        <v>0.2</v>
      </c>
      <c r="E8" s="20">
        <f t="shared" si="0"/>
        <v>97.4</v>
      </c>
      <c r="F8" s="20">
        <f t="shared" si="1"/>
        <v>418.82</v>
      </c>
      <c r="H8" s="13" t="s">
        <v>123</v>
      </c>
    </row>
    <row r="9" spans="1:13" x14ac:dyDescent="0.3">
      <c r="B9" s="6" t="s">
        <v>88</v>
      </c>
      <c r="C9" s="6"/>
      <c r="D9" s="6"/>
      <c r="E9" s="24">
        <f>SUM(E6:E8)</f>
        <v>604.58547869454969</v>
      </c>
      <c r="F9" s="24">
        <f>SUM(F6:F8)</f>
        <v>2599.7175583865637</v>
      </c>
    </row>
    <row r="10" spans="1:13" x14ac:dyDescent="0.3">
      <c r="B10" s="13"/>
      <c r="C10" s="13"/>
      <c r="D10" s="13"/>
    </row>
    <row r="11" spans="1:13" x14ac:dyDescent="0.3">
      <c r="B11" s="87" t="s">
        <v>139</v>
      </c>
      <c r="C11" s="93"/>
      <c r="D11" s="93"/>
      <c r="E11" s="87"/>
      <c r="F11" s="87"/>
      <c r="G11" s="87"/>
      <c r="H11" s="87"/>
      <c r="I11" s="87"/>
    </row>
    <row r="12" spans="1:13" x14ac:dyDescent="0.3">
      <c r="B12" s="87" t="s">
        <v>140</v>
      </c>
      <c r="C12" s="93"/>
      <c r="D12" s="93"/>
      <c r="E12" s="87"/>
      <c r="F12" s="87"/>
      <c r="G12" s="87"/>
      <c r="H12" s="87"/>
      <c r="I12" s="87"/>
    </row>
    <row r="13" spans="1:13" x14ac:dyDescent="0.3">
      <c r="C13" s="13"/>
      <c r="D13" s="13"/>
    </row>
    <row r="14" spans="1:13" x14ac:dyDescent="0.3">
      <c r="B14" s="76" t="s">
        <v>124</v>
      </c>
      <c r="C14" s="4"/>
      <c r="D14" s="27"/>
      <c r="E14" s="76" t="s">
        <v>127</v>
      </c>
      <c r="F14" s="4"/>
    </row>
    <row r="15" spans="1:13" x14ac:dyDescent="0.3">
      <c r="B15" s="13" t="s">
        <v>130</v>
      </c>
      <c r="C15" s="88">
        <v>0.33360000000000001</v>
      </c>
      <c r="E15" s="87" t="s">
        <v>128</v>
      </c>
    </row>
    <row r="16" spans="1:13" x14ac:dyDescent="0.3">
      <c r="B16" s="13" t="s">
        <v>125</v>
      </c>
      <c r="C16" s="83">
        <v>4.3</v>
      </c>
      <c r="E16" s="13" t="s">
        <v>129</v>
      </c>
      <c r="F16" s="82">
        <v>0.26</v>
      </c>
    </row>
    <row r="17" spans="2:7" x14ac:dyDescent="0.3">
      <c r="B17" s="13" t="s">
        <v>131</v>
      </c>
      <c r="C17" s="84">
        <f>C15*4.3</f>
        <v>1.43448</v>
      </c>
      <c r="E17" s="13" t="s">
        <v>125</v>
      </c>
      <c r="F17" s="83">
        <v>4.3</v>
      </c>
    </row>
    <row r="18" spans="2:7" x14ac:dyDescent="0.3">
      <c r="B18" s="85" t="s">
        <v>126</v>
      </c>
      <c r="C18" s="86">
        <f>C17*E9</f>
        <v>867.26577747775764</v>
      </c>
      <c r="E18" s="85" t="s">
        <v>132</v>
      </c>
      <c r="F18" s="86">
        <f>F16*F17*E9</f>
        <v>675.92656518050649</v>
      </c>
    </row>
    <row r="19" spans="2:7" x14ac:dyDescent="0.3">
      <c r="C19" s="81"/>
      <c r="D19" s="27"/>
      <c r="G19" s="27"/>
    </row>
    <row r="20" spans="2:7" x14ac:dyDescent="0.3">
      <c r="B20" s="89" t="s">
        <v>133</v>
      </c>
      <c r="C20" s="89"/>
      <c r="D20" s="90">
        <f>C18+F18</f>
        <v>1543.1923426582641</v>
      </c>
    </row>
    <row r="21" spans="2:7" x14ac:dyDescent="0.3">
      <c r="C21" s="11"/>
    </row>
    <row r="22" spans="2:7" x14ac:dyDescent="0.3">
      <c r="C22" s="11"/>
    </row>
  </sheetData>
  <mergeCells count="1">
    <mergeCell ref="B20:C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DCF_Sensitivity_Analysis</vt:lpstr>
      <vt:lpstr>CCA &amp; Order_Book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Aarushi Ghosh</dc:creator>
  <cp:lastModifiedBy>Aarushi Ghosh</cp:lastModifiedBy>
  <dcterms:created xsi:type="dcterms:W3CDTF">2025-11-06T16:06:53Z</dcterms:created>
  <dcterms:modified xsi:type="dcterms:W3CDTF">2025-11-08T12:31:12Z</dcterms:modified>
</cp:coreProperties>
</file>